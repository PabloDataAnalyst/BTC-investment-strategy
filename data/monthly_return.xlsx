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anta\Desktop\Data Analyst\Yo\Portfolio\Projects\investment-strategy-analysis\kpis\"/>
    </mc:Choice>
  </mc:AlternateContent>
  <xr:revisionPtr revIDLastSave="0" documentId="13_ncr:1_{78B86FCC-EFB4-489C-A855-97D16667CCC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data" sheetId="2" r:id="rId1"/>
    <sheet name="monthly return" sheetId="1" r:id="rId2"/>
    <sheet name="monthly return %" sheetId="3" r:id="rId3"/>
    <sheet name="monthly_return%" sheetId="6" r:id="rId4"/>
    <sheet name="BestWorst month" sheetId="5" r:id="rId5"/>
  </sheets>
  <definedNames>
    <definedName name="DatosExternos_1" localSheetId="0" hidden="1">data!$A$1:$G$50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D2" i="3"/>
  <c r="E2" i="3"/>
  <c r="F2" i="3"/>
  <c r="G2" i="3"/>
  <c r="H2" i="3"/>
  <c r="I2" i="3"/>
  <c r="J2" i="3"/>
  <c r="K2" i="3"/>
  <c r="L2" i="3"/>
  <c r="M2" i="3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4D2E0-4BEA-44E3-950B-8D74F0499159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<sst xmlns="http://schemas.openxmlformats.org/spreadsheetml/2006/main" count="128" uniqueCount="56">
  <si>
    <t>trade_id</t>
  </si>
  <si>
    <t xml:space="preserve"> type</t>
  </si>
  <si>
    <t xml:space="preserve">stop_loss_pct </t>
  </si>
  <si>
    <t xml:space="preserve">date </t>
  </si>
  <si>
    <t>return_pct_absolute</t>
  </si>
  <si>
    <t>return_pct_risk</t>
  </si>
  <si>
    <t>iv</t>
  </si>
  <si>
    <t xml:space="preserve">SHORT </t>
  </si>
  <si>
    <t>SHORT2</t>
  </si>
  <si>
    <t>LONG</t>
  </si>
  <si>
    <t>LONG2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</si>
  <si>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</si>
  <si>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</si>
  <si>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</si>
  <si>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</si>
  <si>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</si>
  <si>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</si>
  <si>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</si>
  <si>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</si>
  <si>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</si>
  <si>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</si>
  <si>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</si>
  <si>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</si>
  <si>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Noviembre2</t>
  </si>
  <si>
    <t>best_month</t>
  </si>
  <si>
    <t>worst_month</t>
  </si>
  <si>
    <t>Rent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</si>
  <si>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</si>
  <si>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</si>
  <si>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</si>
  <si>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</si>
  <si>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</si>
  <si>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</si>
  <si>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</si>
  <si>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</si>
  <si>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</si>
  <si>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</si>
  <si>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</si>
  <si>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</si>
  <si>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year</t>
  </si>
  <si>
    <t>month</t>
  </si>
  <si>
    <t>nº</t>
  </si>
  <si>
    <t>November 2021</t>
  </si>
  <si>
    <t>December 2021</t>
  </si>
  <si>
    <t>January 2022</t>
  </si>
  <si>
    <t>February 2022</t>
  </si>
  <si>
    <t>March 2022</t>
  </si>
  <si>
    <t>April 2022</t>
  </si>
  <si>
    <t>June 2022</t>
  </si>
  <si>
    <t>July 2022</t>
  </si>
  <si>
    <t>August 2022</t>
  </si>
  <si>
    <t>September 2022</t>
  </si>
  <si>
    <t>October 2022</t>
  </si>
  <si>
    <t>November 2022</t>
  </si>
  <si>
    <t>May 2022</t>
  </si>
  <si>
    <t>month2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</si>
</sst>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/>
    <xf numFmtId="2" fontId="0" fillId="0" borderId="0" xfId="0" applyNumberFormat="1"/>
    <xf numFmtId="17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8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3E8B09-926C-4EA5-8F5C-7DCB353B6273}" autoFormatId="16" applyNumberFormats="0" applyBorderFormats="0" applyFontFormats="0" applyPatternFormats="0" applyAlignmentFormats="0" applyWidthHeightFormats="0">
  <queryTableRefresh nextId="21">
    <queryTableFields count="7">
      <queryTableField id="1" name="trade_id" tableColumnId="1"/>
      <queryTableField id="2" name=" type" tableColumnId="2"/>
      <queryTableField id="3" name="stop_loss_pct " tableColumnId="3"/>
      <queryTableField id="4" name="date " tableColumnId="4"/>
      <queryTableField id="5" name="return_pct_absolute" tableColumnId="5"/>
      <queryTableField id="6" name="return_pct_risk" tableColumnId="6"/>
      <queryTableField id="7" name="iv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90845-0DB0-45FB-8B9D-80E2A38A7611}" name="data" displayName="data" ref="A1:G50" tableType="queryTable" totalsRowShown="0">
  <autoFilter ref="A1:G50" xr:uid="{BF090845-0DB0-45FB-8B9D-80E2A38A7611}"/>
  <tableColumns count="7">
    <tableColumn id="1" xr3:uid="{6E9D88C2-1EE5-4E36-9328-910DFA137601}" uniqueName="1" name="trade_id" queryTableFieldId="1"/>
    <tableColumn id="2" xr3:uid="{1C0C0E08-7B1A-4F43-B0C3-C9F9E5A2C5FB}" uniqueName="2" name=" type" queryTableFieldId="2" dataDxfId="17"/>
    <tableColumn id="3" xr3:uid="{911927E4-124B-444A-8D63-EEF346B49538}" uniqueName="3" name="stop_loss_pct " queryTableFieldId="3"/>
    <tableColumn id="4" xr3:uid="{536BE0F0-4CFA-4903-95A9-988E07D12C49}" uniqueName="4" name="date " queryTableFieldId="4" dataDxfId="16"/>
    <tableColumn id="5" xr3:uid="{11C8D8F8-9D13-4C88-87D4-4EFE7450BA43}" uniqueName="5" name="return_pct_absolute" queryTableFieldId="5"/>
    <tableColumn id="6" xr3:uid="{2B55A936-1ECB-4E71-AEFA-6DE47E02CA0F}" uniqueName="6" name="return_pct_risk" queryTableFieldId="6"/>
    <tableColumn id="7" xr3:uid="{6C4E6FB4-209C-43FC-ABB4-3B93C829AC74}" uniqueName="7" name="iv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4971EB-3BC6-4768-953E-91A4B1E1546B}" name="Tabla3" displayName="Tabla3" ref="A1:M2" totalsRowShown="0" headerRowDxfId="15" dataDxfId="13" headerRowBorderDxfId="14" tableBorderDxfId="12">
  <autoFilter ref="A1:M2" xr:uid="{4B4971EB-3BC6-4768-953E-91A4B1E1546B}"/>
  <tableColumns count="13">
    <tableColumn id="1" xr3:uid="{15D3353B-FC1B-4085-8C6C-447AD48B0970}" name="Noviembre" dataDxfId="11">
      <calculatedColumnFormula>('monthly return'!A2-1)*100</calculatedColumnFormula>
    </tableColumn>
    <tableColumn id="2" xr3:uid="{A91EAAA8-CF7C-485F-A30F-401B4B2047EC}" name="Diciembre" dataDxfId="10">
      <calculatedColumnFormula>('monthly return'!B2-1)*100</calculatedColumnFormula>
    </tableColumn>
    <tableColumn id="3" xr3:uid="{7EFBE294-C1A9-4FFA-A023-49045887C446}" name="Enero" dataDxfId="9">
      <calculatedColumnFormula>('monthly return'!C2-1)*100</calculatedColumnFormula>
    </tableColumn>
    <tableColumn id="4" xr3:uid="{75B408A4-D5F5-49E3-A0BB-10103A486028}" name="Febrero" dataDxfId="8">
      <calculatedColumnFormula>('monthly return'!D2-1)*100</calculatedColumnFormula>
    </tableColumn>
    <tableColumn id="5" xr3:uid="{DF8A63A2-8AF5-470E-8FDD-9CED600700A1}" name="Marzo" dataDxfId="7">
      <calculatedColumnFormula>('monthly return'!E2-1)*100</calculatedColumnFormula>
    </tableColumn>
    <tableColumn id="6" xr3:uid="{DA17C8ED-11FD-4AC2-A82C-4C852045D1FD}" name="Abril" dataDxfId="6">
      <calculatedColumnFormula>('monthly return'!F2-1)*100</calculatedColumnFormula>
    </tableColumn>
    <tableColumn id="7" xr3:uid="{72DEAB85-9A72-4E6E-89F9-1725E3908244}" name="Mayo" dataDxfId="5">
      <calculatedColumnFormula>('monthly return'!G2-1)*100</calculatedColumnFormula>
    </tableColumn>
    <tableColumn id="8" xr3:uid="{DEE88F53-3242-4D72-8866-0DFEFD1CCC69}" name="Junio" dataDxfId="4">
      <calculatedColumnFormula>('monthly return'!H2-1)*100</calculatedColumnFormula>
    </tableColumn>
    <tableColumn id="9" xr3:uid="{ABF7EA05-E199-46BB-AD8B-A721CC4799D6}" name="Julio" dataDxfId="3">
      <calculatedColumnFormula>('monthly return'!I2-1)*100</calculatedColumnFormula>
    </tableColumn>
    <tableColumn id="10" xr3:uid="{93358D5E-B352-4A22-BEE4-3860746DDB0E}" name="Agosto" dataDxfId="2">
      <calculatedColumnFormula>('monthly return'!J2-1)*100</calculatedColumnFormula>
    </tableColumn>
    <tableColumn id="11" xr3:uid="{61764963-0782-4DF6-A0B0-F061D7D6AD77}" name="Septiembre" dataDxfId="1">
      <calculatedColumnFormula>('monthly return'!K2-1)*100</calculatedColumnFormula>
    </tableColumn>
    <tableColumn id="12" xr3:uid="{43EAA66F-CB1F-4DF8-9E8F-322733E3BF1F}" name="Octubre" dataDxfId="0">
      <calculatedColumnFormula>('monthly return'!L2-1)*100</calculatedColumnFormula>
    </tableColumn>
    <tableColumn id="13" xr3:uid="{E81C69B0-002E-44FE-9E63-FB87B8FAE213}" name="Noviembre2">
      <calculatedColumnFormula>('monthly return'!M2-1)*100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1A81-F1F9-47AB-B93D-A04DD7517863}">
  <dimension ref="A1:G50"/>
  <sheetViews>
    <sheetView workbookViewId="0">
      <selection activeCell="I13" sqref="I13"/>
    </sheetView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15.7109375" bestFit="1" customWidth="1"/>
    <col min="4" max="4" width="10.7109375" bestFit="1" customWidth="1"/>
    <col min="5" max="5" width="21.42578125" bestFit="1" customWidth="1"/>
    <col min="6" max="6" width="16.710937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8.48</v>
      </c>
      <c r="D2" s="1">
        <v>44515</v>
      </c>
      <c r="E2">
        <v>15.43</v>
      </c>
      <c r="F2">
        <v>9.1</v>
      </c>
      <c r="G2">
        <v>1.0909787740000001</v>
      </c>
    </row>
    <row r="3" spans="1:7" x14ac:dyDescent="0.25">
      <c r="A3">
        <v>2</v>
      </c>
      <c r="B3" t="s">
        <v>8</v>
      </c>
      <c r="C3">
        <v>28.28</v>
      </c>
      <c r="D3" s="1">
        <v>44526</v>
      </c>
      <c r="E3">
        <v>8.16</v>
      </c>
      <c r="F3">
        <v>2.89</v>
      </c>
      <c r="G3">
        <v>1.0288543139999999</v>
      </c>
    </row>
    <row r="4" spans="1:7" x14ac:dyDescent="0.25">
      <c r="A4">
        <v>3</v>
      </c>
      <c r="B4" t="s">
        <v>9</v>
      </c>
      <c r="C4">
        <v>15.05</v>
      </c>
      <c r="D4" s="1">
        <v>44541</v>
      </c>
      <c r="E4">
        <v>-6.46</v>
      </c>
      <c r="F4">
        <v>-2.15</v>
      </c>
      <c r="G4">
        <v>0.97853820599999997</v>
      </c>
    </row>
    <row r="5" spans="1:7" x14ac:dyDescent="0.25">
      <c r="A5">
        <v>4</v>
      </c>
      <c r="B5" t="s">
        <v>7</v>
      </c>
      <c r="C5">
        <v>8.69</v>
      </c>
      <c r="D5" s="1">
        <v>44547</v>
      </c>
      <c r="E5">
        <v>-5.88</v>
      </c>
      <c r="F5">
        <v>-3.38</v>
      </c>
      <c r="G5">
        <v>0.96616800899999999</v>
      </c>
    </row>
    <row r="6" spans="1:7" x14ac:dyDescent="0.25">
      <c r="A6">
        <v>5</v>
      </c>
      <c r="B6" t="s">
        <v>9</v>
      </c>
      <c r="C6">
        <v>14.23</v>
      </c>
      <c r="D6" s="1">
        <v>44551</v>
      </c>
      <c r="E6">
        <v>-2.83</v>
      </c>
      <c r="F6">
        <v>-0.99</v>
      </c>
      <c r="G6">
        <v>0.99005621899999996</v>
      </c>
    </row>
    <row r="7" spans="1:7" x14ac:dyDescent="0.25">
      <c r="A7">
        <v>6</v>
      </c>
      <c r="B7" t="s">
        <v>7</v>
      </c>
      <c r="C7">
        <v>13.32</v>
      </c>
      <c r="D7" s="1">
        <v>44558</v>
      </c>
      <c r="E7">
        <v>10.11</v>
      </c>
      <c r="F7">
        <v>3.8</v>
      </c>
      <c r="G7">
        <v>1.0379504500000001</v>
      </c>
    </row>
    <row r="8" spans="1:7" x14ac:dyDescent="0.25">
      <c r="A8">
        <v>7</v>
      </c>
      <c r="B8" t="s">
        <v>9</v>
      </c>
      <c r="C8">
        <v>7.43</v>
      </c>
      <c r="D8" s="1">
        <v>44572</v>
      </c>
      <c r="E8">
        <v>-1.1299999999999999</v>
      </c>
      <c r="F8">
        <v>-0.76</v>
      </c>
      <c r="G8">
        <v>0.99239569299999997</v>
      </c>
    </row>
    <row r="9" spans="1:7" x14ac:dyDescent="0.25">
      <c r="A9">
        <v>8</v>
      </c>
      <c r="B9" t="s">
        <v>7</v>
      </c>
      <c r="C9">
        <v>5.21</v>
      </c>
      <c r="D9" s="1">
        <v>44578</v>
      </c>
      <c r="E9">
        <v>13.09</v>
      </c>
      <c r="F9">
        <v>12.56</v>
      </c>
      <c r="G9">
        <v>1.1256238000000001</v>
      </c>
    </row>
    <row r="10" spans="1:7" x14ac:dyDescent="0.25">
      <c r="A10">
        <v>9</v>
      </c>
      <c r="B10" t="s">
        <v>9</v>
      </c>
      <c r="C10">
        <v>10.28</v>
      </c>
      <c r="D10" s="1">
        <v>44585</v>
      </c>
      <c r="E10">
        <v>10.43</v>
      </c>
      <c r="F10">
        <v>5.07</v>
      </c>
      <c r="G10">
        <v>1.0507295720000001</v>
      </c>
    </row>
    <row r="11" spans="1:7" x14ac:dyDescent="0.25">
      <c r="A11">
        <v>10</v>
      </c>
      <c r="B11" t="s">
        <v>10</v>
      </c>
      <c r="C11">
        <v>20.75</v>
      </c>
      <c r="D11" s="1">
        <v>44596</v>
      </c>
      <c r="E11">
        <v>-2.46</v>
      </c>
      <c r="F11">
        <v>-1.19</v>
      </c>
      <c r="G11">
        <v>0.988144578</v>
      </c>
    </row>
    <row r="12" spans="1:7" x14ac:dyDescent="0.25">
      <c r="A12">
        <v>11</v>
      </c>
      <c r="B12" t="s">
        <v>7</v>
      </c>
      <c r="C12">
        <v>10.43</v>
      </c>
      <c r="D12" s="1">
        <v>44609</v>
      </c>
      <c r="E12">
        <v>5.64</v>
      </c>
      <c r="F12">
        <v>2.7</v>
      </c>
      <c r="G12">
        <v>1.027037392</v>
      </c>
    </row>
    <row r="13" spans="1:7" x14ac:dyDescent="0.25">
      <c r="A13">
        <v>12</v>
      </c>
      <c r="B13" t="s">
        <v>9</v>
      </c>
      <c r="C13">
        <v>4.97</v>
      </c>
      <c r="D13" s="1">
        <v>44614</v>
      </c>
      <c r="E13">
        <v>-4.97</v>
      </c>
      <c r="F13">
        <v>-5</v>
      </c>
      <c r="G13">
        <v>0.95</v>
      </c>
    </row>
    <row r="14" spans="1:7" x14ac:dyDescent="0.25">
      <c r="A14">
        <v>13</v>
      </c>
      <c r="B14" t="s">
        <v>9</v>
      </c>
      <c r="C14">
        <v>12.51</v>
      </c>
      <c r="D14" s="1">
        <v>44617</v>
      </c>
      <c r="E14">
        <v>-2.02</v>
      </c>
      <c r="F14">
        <v>-0.81</v>
      </c>
      <c r="G14">
        <v>0.99192645899999998</v>
      </c>
    </row>
    <row r="15" spans="1:7" x14ac:dyDescent="0.25">
      <c r="A15">
        <v>14</v>
      </c>
      <c r="B15" t="s">
        <v>7</v>
      </c>
      <c r="C15">
        <v>17.93</v>
      </c>
      <c r="D15" s="1">
        <v>44626</v>
      </c>
      <c r="E15">
        <v>-0.82</v>
      </c>
      <c r="F15">
        <v>-0.23</v>
      </c>
      <c r="G15">
        <v>0.99771332999999995</v>
      </c>
    </row>
    <row r="16" spans="1:7" x14ac:dyDescent="0.25">
      <c r="A16">
        <v>15</v>
      </c>
      <c r="B16" t="s">
        <v>9</v>
      </c>
      <c r="C16">
        <v>4.09</v>
      </c>
      <c r="D16" s="1">
        <v>44628</v>
      </c>
      <c r="E16">
        <v>0</v>
      </c>
      <c r="F16">
        <v>0</v>
      </c>
      <c r="G16">
        <v>1</v>
      </c>
    </row>
    <row r="17" spans="1:7" x14ac:dyDescent="0.25">
      <c r="A17">
        <v>16</v>
      </c>
      <c r="B17" t="s">
        <v>7</v>
      </c>
      <c r="C17">
        <v>9.9700000000000006</v>
      </c>
      <c r="D17" s="1">
        <v>44631</v>
      </c>
      <c r="E17">
        <v>-7.91</v>
      </c>
      <c r="F17">
        <v>-3.97</v>
      </c>
      <c r="G17">
        <v>0.96033099300000002</v>
      </c>
    </row>
    <row r="18" spans="1:7" x14ac:dyDescent="0.25">
      <c r="A18">
        <v>17</v>
      </c>
      <c r="B18" t="s">
        <v>9</v>
      </c>
      <c r="C18">
        <v>11.07</v>
      </c>
      <c r="D18" s="1">
        <v>44638</v>
      </c>
      <c r="E18">
        <v>-1.32</v>
      </c>
      <c r="F18">
        <v>-0.6</v>
      </c>
      <c r="G18">
        <v>0.99403794000000001</v>
      </c>
    </row>
    <row r="19" spans="1:7" x14ac:dyDescent="0.25">
      <c r="A19">
        <v>18</v>
      </c>
      <c r="B19" t="s">
        <v>7</v>
      </c>
      <c r="C19">
        <v>2.82</v>
      </c>
      <c r="D19" s="1">
        <v>44640</v>
      </c>
      <c r="E19">
        <v>-2.82</v>
      </c>
      <c r="F19">
        <v>-5</v>
      </c>
      <c r="G19">
        <v>0.95</v>
      </c>
    </row>
    <row r="20" spans="1:7" x14ac:dyDescent="0.25">
      <c r="A20">
        <v>19</v>
      </c>
      <c r="B20" t="s">
        <v>7</v>
      </c>
      <c r="C20">
        <v>5.97</v>
      </c>
      <c r="D20" s="1">
        <v>44651</v>
      </c>
      <c r="E20">
        <v>5.1100000000000003</v>
      </c>
      <c r="F20">
        <v>4.28</v>
      </c>
      <c r="G20">
        <v>1.04279732</v>
      </c>
    </row>
    <row r="21" spans="1:7" x14ac:dyDescent="0.25">
      <c r="A21">
        <v>20</v>
      </c>
      <c r="B21" t="s">
        <v>8</v>
      </c>
      <c r="C21">
        <v>11.67</v>
      </c>
      <c r="D21" s="1">
        <v>44657</v>
      </c>
      <c r="E21">
        <v>8.1199999999999992</v>
      </c>
      <c r="F21">
        <v>6.96</v>
      </c>
      <c r="G21">
        <v>1.0695801199999999</v>
      </c>
    </row>
    <row r="22" spans="1:7" x14ac:dyDescent="0.25">
      <c r="A22">
        <v>21</v>
      </c>
      <c r="B22" t="s">
        <v>9</v>
      </c>
      <c r="C22">
        <v>5.76</v>
      </c>
      <c r="D22" s="1">
        <v>44685</v>
      </c>
      <c r="E22">
        <v>-5.76</v>
      </c>
      <c r="F22">
        <v>-5</v>
      </c>
      <c r="G22">
        <v>0.95</v>
      </c>
    </row>
    <row r="23" spans="1:7" x14ac:dyDescent="0.25">
      <c r="A23">
        <v>22</v>
      </c>
      <c r="B23" t="s">
        <v>7</v>
      </c>
      <c r="C23">
        <v>32.03</v>
      </c>
      <c r="D23" s="1">
        <v>44686</v>
      </c>
      <c r="E23">
        <v>17.79</v>
      </c>
      <c r="F23">
        <v>2.78</v>
      </c>
      <c r="G23">
        <v>1.0277708400000001</v>
      </c>
    </row>
    <row r="24" spans="1:7" x14ac:dyDescent="0.25">
      <c r="A24">
        <v>23</v>
      </c>
      <c r="B24" t="s">
        <v>9</v>
      </c>
      <c r="C24">
        <v>15.43</v>
      </c>
      <c r="D24" s="1">
        <v>44695</v>
      </c>
      <c r="E24">
        <v>-3.17</v>
      </c>
      <c r="F24">
        <v>-1.03</v>
      </c>
      <c r="G24">
        <v>0.98972780299999996</v>
      </c>
    </row>
    <row r="25" spans="1:7" x14ac:dyDescent="0.25">
      <c r="A25">
        <v>24</v>
      </c>
      <c r="B25" t="s">
        <v>7</v>
      </c>
      <c r="C25">
        <v>8.01</v>
      </c>
      <c r="D25" s="1">
        <v>44704</v>
      </c>
      <c r="E25">
        <v>0.24</v>
      </c>
      <c r="F25">
        <v>0.15</v>
      </c>
      <c r="G25">
        <v>1.0014981270000001</v>
      </c>
    </row>
    <row r="26" spans="1:7" x14ac:dyDescent="0.25">
      <c r="A26">
        <v>25</v>
      </c>
      <c r="B26" t="s">
        <v>9</v>
      </c>
      <c r="C26">
        <v>12.44</v>
      </c>
      <c r="D26" s="1">
        <v>44709</v>
      </c>
      <c r="E26">
        <v>2.27</v>
      </c>
      <c r="F26">
        <v>0.91</v>
      </c>
      <c r="G26">
        <v>1.009123794</v>
      </c>
    </row>
    <row r="27" spans="1:7" x14ac:dyDescent="0.25">
      <c r="A27">
        <v>26</v>
      </c>
      <c r="B27" t="s">
        <v>7</v>
      </c>
      <c r="C27">
        <v>9.1199999999999992</v>
      </c>
      <c r="D27" s="1">
        <v>44715</v>
      </c>
      <c r="E27">
        <v>24.33</v>
      </c>
      <c r="F27">
        <v>13.34</v>
      </c>
      <c r="G27">
        <v>1.133388158</v>
      </c>
    </row>
    <row r="28" spans="1:7" x14ac:dyDescent="0.25">
      <c r="A28">
        <v>27</v>
      </c>
      <c r="B28" t="s">
        <v>8</v>
      </c>
      <c r="C28">
        <v>44.21</v>
      </c>
      <c r="D28" s="1">
        <v>44725</v>
      </c>
      <c r="E28">
        <v>14.06</v>
      </c>
      <c r="F28">
        <v>3.18</v>
      </c>
      <c r="G28">
        <v>1.0318027599999999</v>
      </c>
    </row>
    <row r="29" spans="1:7" x14ac:dyDescent="0.25">
      <c r="A29">
        <v>28</v>
      </c>
      <c r="B29" t="s">
        <v>9</v>
      </c>
      <c r="C29">
        <v>8.82</v>
      </c>
      <c r="D29" s="1">
        <v>44745</v>
      </c>
      <c r="E29">
        <v>8.09</v>
      </c>
      <c r="F29">
        <v>4.59</v>
      </c>
      <c r="G29">
        <v>1.0458616780000001</v>
      </c>
    </row>
    <row r="30" spans="1:7" x14ac:dyDescent="0.25">
      <c r="A30">
        <v>29</v>
      </c>
      <c r="B30" t="s">
        <v>7</v>
      </c>
      <c r="C30">
        <v>7.41</v>
      </c>
      <c r="D30" s="1">
        <v>44752</v>
      </c>
      <c r="E30">
        <v>1.34</v>
      </c>
      <c r="F30">
        <v>0.9</v>
      </c>
      <c r="G30">
        <v>1.0090418350000001</v>
      </c>
    </row>
    <row r="31" spans="1:7" x14ac:dyDescent="0.25">
      <c r="A31">
        <v>30</v>
      </c>
      <c r="B31" t="s">
        <v>9</v>
      </c>
      <c r="C31">
        <v>8.1199999999999992</v>
      </c>
      <c r="D31" s="1">
        <v>44756</v>
      </c>
      <c r="E31">
        <v>10.23</v>
      </c>
      <c r="F31">
        <v>6.3</v>
      </c>
      <c r="G31">
        <v>1.0629926110000001</v>
      </c>
    </row>
    <row r="32" spans="1:7" x14ac:dyDescent="0.25">
      <c r="A32">
        <v>31</v>
      </c>
      <c r="B32" t="s">
        <v>7</v>
      </c>
      <c r="C32">
        <v>7.05</v>
      </c>
      <c r="D32" s="1">
        <v>44764</v>
      </c>
      <c r="E32">
        <v>-1.26</v>
      </c>
      <c r="F32">
        <v>-0.89</v>
      </c>
      <c r="G32">
        <v>0.99106382999999998</v>
      </c>
    </row>
    <row r="33" spans="1:7" x14ac:dyDescent="0.25">
      <c r="A33">
        <v>32</v>
      </c>
      <c r="B33" t="s">
        <v>9</v>
      </c>
      <c r="C33">
        <v>9.8800000000000008</v>
      </c>
      <c r="D33" s="1">
        <v>44769</v>
      </c>
      <c r="E33">
        <v>3.91</v>
      </c>
      <c r="F33">
        <v>1.98</v>
      </c>
      <c r="G33">
        <v>1.0197874490000001</v>
      </c>
    </row>
    <row r="34" spans="1:7" x14ac:dyDescent="0.25">
      <c r="A34">
        <v>33</v>
      </c>
      <c r="B34" t="s">
        <v>7</v>
      </c>
      <c r="C34">
        <v>5.64</v>
      </c>
      <c r="D34" s="1">
        <v>44789</v>
      </c>
      <c r="E34">
        <v>15.67</v>
      </c>
      <c r="F34">
        <v>13.89</v>
      </c>
      <c r="G34">
        <v>1.1389184400000001</v>
      </c>
    </row>
    <row r="35" spans="1:7" x14ac:dyDescent="0.25">
      <c r="A35">
        <v>34</v>
      </c>
      <c r="B35" t="s">
        <v>9</v>
      </c>
      <c r="C35">
        <v>2.99</v>
      </c>
      <c r="D35" s="1">
        <v>44805</v>
      </c>
      <c r="E35">
        <v>-2.99</v>
      </c>
      <c r="F35">
        <v>-5</v>
      </c>
      <c r="G35">
        <v>0.95</v>
      </c>
    </row>
    <row r="36" spans="1:7" x14ac:dyDescent="0.25">
      <c r="A36">
        <v>35</v>
      </c>
      <c r="B36" t="s">
        <v>7</v>
      </c>
      <c r="C36">
        <v>8.7899999999999991</v>
      </c>
      <c r="D36" s="1">
        <v>44810</v>
      </c>
      <c r="E36">
        <v>-2.84</v>
      </c>
      <c r="F36">
        <v>-1.62</v>
      </c>
      <c r="G36">
        <v>0.98384527899999996</v>
      </c>
    </row>
    <row r="37" spans="1:7" x14ac:dyDescent="0.25">
      <c r="A37">
        <v>36</v>
      </c>
      <c r="B37" t="s">
        <v>9</v>
      </c>
      <c r="C37">
        <v>4.05</v>
      </c>
      <c r="D37" s="1">
        <v>44812</v>
      </c>
      <c r="E37">
        <v>1.91</v>
      </c>
      <c r="F37">
        <v>2.36</v>
      </c>
      <c r="G37">
        <v>1.0235802469999999</v>
      </c>
    </row>
    <row r="38" spans="1:7" x14ac:dyDescent="0.25">
      <c r="A38">
        <v>37</v>
      </c>
      <c r="B38" t="s">
        <v>7</v>
      </c>
      <c r="C38">
        <v>15.69</v>
      </c>
      <c r="D38" s="1">
        <v>44819</v>
      </c>
      <c r="E38">
        <v>1.46</v>
      </c>
      <c r="F38">
        <v>0.47</v>
      </c>
      <c r="G38">
        <v>1.004652645</v>
      </c>
    </row>
    <row r="39" spans="1:7" x14ac:dyDescent="0.25">
      <c r="A39">
        <v>38</v>
      </c>
      <c r="B39" t="s">
        <v>9</v>
      </c>
      <c r="C39">
        <v>6.42</v>
      </c>
      <c r="D39" s="1">
        <v>44826</v>
      </c>
      <c r="E39">
        <v>-3.06</v>
      </c>
      <c r="F39">
        <v>-2.38</v>
      </c>
      <c r="G39">
        <v>0.97616822400000003</v>
      </c>
    </row>
    <row r="40" spans="1:7" x14ac:dyDescent="0.25">
      <c r="A40">
        <v>39</v>
      </c>
      <c r="B40" t="s">
        <v>7</v>
      </c>
      <c r="C40">
        <v>5.81</v>
      </c>
      <c r="D40" s="1">
        <v>44829</v>
      </c>
      <c r="E40">
        <v>-2.21</v>
      </c>
      <c r="F40">
        <v>-1.9</v>
      </c>
      <c r="G40">
        <v>0.98098106699999998</v>
      </c>
    </row>
    <row r="41" spans="1:7" x14ac:dyDescent="0.25">
      <c r="A41">
        <v>40</v>
      </c>
      <c r="B41" t="s">
        <v>9</v>
      </c>
      <c r="C41">
        <v>5.56</v>
      </c>
      <c r="D41" s="1">
        <v>44830</v>
      </c>
      <c r="E41">
        <v>-0.91</v>
      </c>
      <c r="F41">
        <v>-0.82</v>
      </c>
      <c r="G41">
        <v>0.99181654699999999</v>
      </c>
    </row>
    <row r="42" spans="1:7" x14ac:dyDescent="0.25">
      <c r="A42">
        <v>41</v>
      </c>
      <c r="B42" t="s">
        <v>7</v>
      </c>
      <c r="C42">
        <v>6.98</v>
      </c>
      <c r="D42" s="1">
        <v>44836</v>
      </c>
      <c r="E42">
        <v>-3.07</v>
      </c>
      <c r="F42">
        <v>-2.2000000000000002</v>
      </c>
      <c r="G42">
        <v>0.97800859600000001</v>
      </c>
    </row>
    <row r="43" spans="1:7" x14ac:dyDescent="0.25">
      <c r="A43">
        <v>42</v>
      </c>
      <c r="B43" t="s">
        <v>9</v>
      </c>
      <c r="C43">
        <v>7.53</v>
      </c>
      <c r="D43" s="1">
        <v>44837</v>
      </c>
      <c r="E43">
        <v>1.6</v>
      </c>
      <c r="F43">
        <v>1.06</v>
      </c>
      <c r="G43">
        <v>1.01062417</v>
      </c>
    </row>
    <row r="44" spans="1:7" x14ac:dyDescent="0.25">
      <c r="A44">
        <v>43</v>
      </c>
      <c r="B44" t="s">
        <v>7</v>
      </c>
      <c r="C44">
        <v>2.6</v>
      </c>
      <c r="D44" s="1">
        <v>44840</v>
      </c>
      <c r="E44">
        <v>2.88</v>
      </c>
      <c r="F44">
        <v>5.54</v>
      </c>
      <c r="G44">
        <v>1.0553846149999999</v>
      </c>
    </row>
    <row r="45" spans="1:7" x14ac:dyDescent="0.25">
      <c r="A45">
        <v>44</v>
      </c>
      <c r="B45" t="s">
        <v>9</v>
      </c>
      <c r="C45">
        <v>9.2100000000000009</v>
      </c>
      <c r="D45" s="1">
        <v>44847</v>
      </c>
      <c r="E45">
        <v>-1.01</v>
      </c>
      <c r="F45">
        <v>-0.55000000000000004</v>
      </c>
      <c r="G45">
        <v>0.99451683000000002</v>
      </c>
    </row>
    <row r="46" spans="1:7" x14ac:dyDescent="0.25">
      <c r="A46">
        <v>45</v>
      </c>
      <c r="B46" t="s">
        <v>7</v>
      </c>
      <c r="C46">
        <v>3.99</v>
      </c>
      <c r="D46" s="1">
        <v>44848</v>
      </c>
      <c r="E46">
        <v>-2.0499999999999998</v>
      </c>
      <c r="F46">
        <v>-2.57</v>
      </c>
      <c r="G46">
        <v>0.97431077700000002</v>
      </c>
    </row>
    <row r="47" spans="1:7" x14ac:dyDescent="0.25">
      <c r="A47">
        <v>46</v>
      </c>
      <c r="B47" t="s">
        <v>9</v>
      </c>
      <c r="C47">
        <v>4.67</v>
      </c>
      <c r="D47" s="1">
        <v>44857</v>
      </c>
      <c r="E47">
        <v>2.96</v>
      </c>
      <c r="F47">
        <v>3.17</v>
      </c>
      <c r="G47">
        <v>1.0316916490000001</v>
      </c>
    </row>
    <row r="48" spans="1:7" x14ac:dyDescent="0.25">
      <c r="A48">
        <v>47</v>
      </c>
      <c r="B48" t="s">
        <v>7</v>
      </c>
      <c r="C48">
        <v>4.58</v>
      </c>
      <c r="D48" s="1">
        <v>44867</v>
      </c>
      <c r="E48">
        <v>-4.58</v>
      </c>
      <c r="F48">
        <v>-5</v>
      </c>
      <c r="G48">
        <v>0.95</v>
      </c>
    </row>
    <row r="49" spans="1:7" x14ac:dyDescent="0.25">
      <c r="A49">
        <v>48</v>
      </c>
      <c r="B49" t="s">
        <v>9</v>
      </c>
      <c r="C49">
        <v>16.829999999999998</v>
      </c>
      <c r="D49" s="1">
        <v>44869</v>
      </c>
      <c r="E49">
        <v>-16.829999999999998</v>
      </c>
      <c r="F49">
        <v>-5</v>
      </c>
      <c r="G49">
        <v>0.95</v>
      </c>
    </row>
    <row r="50" spans="1:7" x14ac:dyDescent="0.25">
      <c r="A50">
        <v>49</v>
      </c>
      <c r="B50" t="s">
        <v>7</v>
      </c>
      <c r="C50">
        <v>15.76</v>
      </c>
      <c r="D50" s="1">
        <v>44873</v>
      </c>
      <c r="E50">
        <v>7.12</v>
      </c>
      <c r="F50">
        <v>2.2599999999999998</v>
      </c>
      <c r="G50">
        <v>1.0225888320000001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12" bestFit="1" customWidth="1"/>
    <col min="7" max="7" width="11.85546875" bestFit="1" customWidth="1"/>
    <col min="13" max="13" width="12" bestFit="1" customWidth="1"/>
  </cols>
  <sheetData>
    <row r="1" spans="1:13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3" t="s">
        <v>22</v>
      </c>
      <c r="M1" s="3" t="s">
        <v>11</v>
      </c>
    </row>
    <row r="2" spans="1:13" x14ac:dyDescent="0.25">
      <c r="A2" s="4">
        <f>PRODUCT(data!G2:G3)</f>
        <v>1.122458218112331</v>
      </c>
      <c r="B2" s="4">
        <f>PRODUCT(data!G4:G7)</f>
        <v>0.97155394129375383</v>
      </c>
      <c r="C2" s="4">
        <f>PRODUCT(data!G8:G10)</f>
        <v>1.1737324003817984</v>
      </c>
      <c r="D2" s="4">
        <f>PRODUCT(data!G11:G14)</f>
        <v>0.95633450969409228</v>
      </c>
      <c r="E2" s="4">
        <f>PRODUCT(data!G15:G20)</f>
        <v>0.94352452266129072</v>
      </c>
      <c r="F2" s="4">
        <f>PRODUCT(data!G21)</f>
        <v>1.0695801199999999</v>
      </c>
      <c r="G2" s="4">
        <f>PRODUCT(data!G22:G26)</f>
        <v>0.97663043748687217</v>
      </c>
      <c r="H2" s="4">
        <f>PRODUCT(data!G27:G28)</f>
        <v>1.169433029575716</v>
      </c>
      <c r="I2" s="4">
        <f>PRODUCT(data!G29:G33)</f>
        <v>1.1337699896211599</v>
      </c>
      <c r="J2" s="4">
        <f>PRODUCT(data!G34)</f>
        <v>1.1389184400000001</v>
      </c>
      <c r="K2" s="4">
        <f>PRODUCT(data!G35:G41)</f>
        <v>0.91286147922880412</v>
      </c>
      <c r="L2" s="5">
        <f>PRODUCT(data!G42:G47)</f>
        <v>1.0428039558089348</v>
      </c>
      <c r="M2">
        <f>PRODUCT(data!G48:G50)</f>
        <v>0.92288642088000006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AA84-5BC1-4883-B9A1-B2009A4AE161}">
  <dimension ref="A1:M6"/>
  <sheetViews>
    <sheetView workbookViewId="0">
      <selection activeCell="O5" sqref="O5:P17"/>
    </sheetView>
  </sheetViews>
  <sheetFormatPr baseColWidth="10" defaultRowHeight="15" x14ac:dyDescent="0.25"/>
  <cols>
    <col min="1" max="1" width="13.140625" customWidth="1"/>
    <col min="2" max="2" width="12.28515625" customWidth="1"/>
    <col min="11" max="11" width="13.5703125" customWidth="1"/>
    <col min="13" max="13" width="14.140625" customWidth="1"/>
  </cols>
  <sheetData>
    <row r="1" spans="1:13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</row>
    <row r="2" spans="1:13" x14ac:dyDescent="0.25">
      <c r="A2" s="4">
        <f>('monthly return'!A2-1)*100</f>
        <v>12.245821811233103</v>
      </c>
      <c r="B2" s="4">
        <f>('monthly return'!B2-1)*100</f>
        <v>-2.8446058706246169</v>
      </c>
      <c r="C2" s="4">
        <f>('monthly return'!C2-1)*100</f>
        <v>17.373240038179837</v>
      </c>
      <c r="D2" s="4">
        <f>('monthly return'!D2-1)*100</f>
        <v>-4.3665490305907717</v>
      </c>
      <c r="E2" s="4">
        <f>('monthly return'!E2-1)*100</f>
        <v>-5.6475477338709279</v>
      </c>
      <c r="F2" s="4">
        <f>('monthly return'!F2-1)*100</f>
        <v>6.9580119999999912</v>
      </c>
      <c r="G2" s="4">
        <f>('monthly return'!G2-1)*100</f>
        <v>-2.3369562513127828</v>
      </c>
      <c r="H2" s="4">
        <f>('monthly return'!H2-1)*100</f>
        <v>16.943302957571603</v>
      </c>
      <c r="I2" s="4">
        <f>('monthly return'!I2-1)*100</f>
        <v>13.376998962115994</v>
      </c>
      <c r="J2" s="4">
        <f>('monthly return'!J2-1)*100</f>
        <v>13.89184400000001</v>
      </c>
      <c r="K2" s="4">
        <f>('monthly return'!K2-1)*100</f>
        <v>-8.7138520771195882</v>
      </c>
      <c r="L2" s="5">
        <f>('monthly return'!L2-1)*100</f>
        <v>4.2803955808934813</v>
      </c>
      <c r="M2">
        <f>('monthly return'!M2-1)*100</f>
        <v>-7.7113579119999942</v>
      </c>
    </row>
    <row r="5" spans="1:13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25">
      <c r="A6">
        <v>12.245821811233103</v>
      </c>
      <c r="B6">
        <v>-2.8446058706246169</v>
      </c>
      <c r="C6">
        <v>17.373240038179837</v>
      </c>
      <c r="D6">
        <v>-4.3665490305907717</v>
      </c>
      <c r="E6">
        <v>-5.6475477338709279</v>
      </c>
      <c r="F6">
        <v>6.9580119999999912</v>
      </c>
      <c r="G6">
        <v>-2.3369562513127828</v>
      </c>
      <c r="H6">
        <v>16.943302957571603</v>
      </c>
      <c r="I6">
        <v>13.376998962115994</v>
      </c>
      <c r="J6">
        <v>13.89184400000001</v>
      </c>
      <c r="K6">
        <v>-8.7138520771195882</v>
      </c>
      <c r="L6">
        <v>4.2803955808934813</v>
      </c>
      <c r="M6">
        <v>-7.7113579119999942</v>
      </c>
    </row>
  </sheetData>
  <dataConsolidate/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3E51-1AD7-4DFB-AD15-E688CA7B160D}">
  <dimension ref="A1:E14"/>
  <sheetViews>
    <sheetView tabSelected="1" workbookViewId="0">
      <selection activeCell="B15" sqref="B15"/>
    </sheetView>
  </sheetViews>
  <sheetFormatPr baseColWidth="10" defaultRowHeight="15" x14ac:dyDescent="0.25"/>
  <cols>
    <col min="1" max="1" width="15.28515625" bestFit="1" customWidth="1"/>
    <col min="2" max="2" width="15.28515625" customWidth="1"/>
    <col min="3" max="3" width="5" bestFit="1" customWidth="1"/>
  </cols>
  <sheetData>
    <row r="1" spans="1:5" x14ac:dyDescent="0.25">
      <c r="A1" t="s">
        <v>40</v>
      </c>
      <c r="B1" t="s">
        <v>55</v>
      </c>
      <c r="C1" t="s">
        <v>39</v>
      </c>
      <c r="D1" t="s">
        <v>26</v>
      </c>
      <c r="E1" t="s">
        <v>41</v>
      </c>
    </row>
    <row r="2" spans="1:5" x14ac:dyDescent="0.25">
      <c r="A2" s="9" t="s">
        <v>42</v>
      </c>
      <c r="B2" s="9" t="s">
        <v>27</v>
      </c>
      <c r="C2" s="9">
        <v>2021</v>
      </c>
      <c r="D2">
        <v>12.245821811233103</v>
      </c>
      <c r="E2">
        <v>1</v>
      </c>
    </row>
    <row r="3" spans="1:5" x14ac:dyDescent="0.25">
      <c r="A3" s="8" t="s">
        <v>43</v>
      </c>
      <c r="B3" s="8" t="s">
        <v>28</v>
      </c>
      <c r="C3" s="9">
        <v>2021</v>
      </c>
      <c r="D3">
        <v>-2.8446058706246169</v>
      </c>
      <c r="E3">
        <v>2</v>
      </c>
    </row>
    <row r="4" spans="1:5" x14ac:dyDescent="0.25">
      <c r="A4" s="8" t="s">
        <v>44</v>
      </c>
      <c r="B4" s="8" t="s">
        <v>29</v>
      </c>
      <c r="C4" s="9">
        <v>2022</v>
      </c>
      <c r="D4">
        <v>17.373240038179837</v>
      </c>
      <c r="E4">
        <v>3</v>
      </c>
    </row>
    <row r="5" spans="1:5" x14ac:dyDescent="0.25">
      <c r="A5" s="8" t="s">
        <v>45</v>
      </c>
      <c r="B5" s="8" t="s">
        <v>30</v>
      </c>
      <c r="C5" s="9">
        <v>2022</v>
      </c>
      <c r="D5">
        <v>-4.3665490305907717</v>
      </c>
      <c r="E5">
        <v>4</v>
      </c>
    </row>
    <row r="6" spans="1:5" x14ac:dyDescent="0.25">
      <c r="A6" s="8" t="s">
        <v>46</v>
      </c>
      <c r="B6" s="8" t="s">
        <v>31</v>
      </c>
      <c r="C6" s="9">
        <v>2022</v>
      </c>
      <c r="D6">
        <v>-5.6475477338709279</v>
      </c>
      <c r="E6">
        <v>5</v>
      </c>
    </row>
    <row r="7" spans="1:5" x14ac:dyDescent="0.25">
      <c r="A7" s="8" t="s">
        <v>47</v>
      </c>
      <c r="B7" s="8" t="s">
        <v>32</v>
      </c>
      <c r="C7" s="9">
        <v>2022</v>
      </c>
      <c r="D7">
        <v>6.9580119999999912</v>
      </c>
      <c r="E7">
        <v>6</v>
      </c>
    </row>
    <row r="8" spans="1:5" x14ac:dyDescent="0.25">
      <c r="A8" s="10" t="s">
        <v>54</v>
      </c>
      <c r="B8" s="10" t="s">
        <v>33</v>
      </c>
      <c r="C8" s="9">
        <v>2022</v>
      </c>
      <c r="D8">
        <v>-2.3369562513127828</v>
      </c>
      <c r="E8">
        <v>7</v>
      </c>
    </row>
    <row r="9" spans="1:5" x14ac:dyDescent="0.25">
      <c r="A9" s="8" t="s">
        <v>48</v>
      </c>
      <c r="B9" s="8" t="s">
        <v>34</v>
      </c>
      <c r="C9" s="9">
        <v>2022</v>
      </c>
      <c r="D9">
        <v>16.943302957571603</v>
      </c>
      <c r="E9">
        <v>8</v>
      </c>
    </row>
    <row r="10" spans="1:5" x14ac:dyDescent="0.25">
      <c r="A10" s="8" t="s">
        <v>49</v>
      </c>
      <c r="B10" s="8" t="s">
        <v>35</v>
      </c>
      <c r="C10" s="9">
        <v>2022</v>
      </c>
      <c r="D10">
        <v>13.376998962115994</v>
      </c>
      <c r="E10">
        <v>9</v>
      </c>
    </row>
    <row r="11" spans="1:5" x14ac:dyDescent="0.25">
      <c r="A11" s="8" t="s">
        <v>50</v>
      </c>
      <c r="B11" s="8" t="s">
        <v>36</v>
      </c>
      <c r="C11" s="9">
        <v>2022</v>
      </c>
      <c r="D11">
        <v>13.89184400000001</v>
      </c>
      <c r="E11">
        <v>10</v>
      </c>
    </row>
    <row r="12" spans="1:5" x14ac:dyDescent="0.25">
      <c r="A12" s="8" t="s">
        <v>51</v>
      </c>
      <c r="B12" s="8" t="s">
        <v>37</v>
      </c>
      <c r="C12" s="9">
        <v>2022</v>
      </c>
      <c r="D12">
        <v>-8.7138520771195882</v>
      </c>
      <c r="E12">
        <v>11</v>
      </c>
    </row>
    <row r="13" spans="1:5" x14ac:dyDescent="0.25">
      <c r="A13" s="8" t="s">
        <v>52</v>
      </c>
      <c r="B13" s="8" t="s">
        <v>38</v>
      </c>
      <c r="C13" s="9">
        <v>2022</v>
      </c>
      <c r="D13">
        <v>4.2803955808934813</v>
      </c>
      <c r="E13">
        <v>12</v>
      </c>
    </row>
    <row r="14" spans="1:5" x14ac:dyDescent="0.25">
      <c r="A14" s="8" t="s">
        <v>53</v>
      </c>
      <c r="B14" s="8" t="s">
        <v>27</v>
      </c>
      <c r="C14" s="9">
        <v>2022</v>
      </c>
      <c r="D14">
        <v>-7.7113579119999942</v>
      </c>
      <c r="E1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9E3D-1F8F-46EF-A1CC-7F2EA7E0C54A}">
  <dimension ref="A1:B2"/>
  <sheetViews>
    <sheetView workbookViewId="0">
      <selection activeCell="B2" sqref="A2:B2"/>
    </sheetView>
  </sheetViews>
  <sheetFormatPr baseColWidth="10" defaultRowHeight="15" x14ac:dyDescent="0.25"/>
  <cols>
    <col min="1" max="1" width="12" bestFit="1" customWidth="1"/>
    <col min="2" max="2" width="12.8554687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7">
        <v>17.373240038179837</v>
      </c>
      <c r="B2" s="7">
        <v>-8.7138520771195882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65DB40-258A-40FB-9508-01CABEC1C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monthly return</vt:lpstr>
      <vt:lpstr>monthly return %</vt:lpstr>
      <vt:lpstr>monthly_return%</vt:lpstr>
      <vt:lpstr>BestWorst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Martinez Toledo</dc:creator>
  <cp:lastModifiedBy>Pablo Martínez Toledo</cp:lastModifiedBy>
  <dcterms:created xsi:type="dcterms:W3CDTF">2015-06-05T18:19:34Z</dcterms:created>
  <dcterms:modified xsi:type="dcterms:W3CDTF">2025-11-21T12:41:35Z</dcterms:modified>
</cp:coreProperties>
</file>